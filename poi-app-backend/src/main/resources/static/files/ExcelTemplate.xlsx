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WON\Downloads\"/>
    </mc:Choice>
  </mc:AlternateContent>
  <bookViews>
    <workbookView xWindow="0" yWindow="0" windowWidth="28800" windowHeight="12285" tabRatio="551"/>
  </bookViews>
  <sheets>
    <sheet name="추가" sheetId="5" r:id="rId1"/>
  </sheets>
  <calcPr calcId="162913"/>
</workbook>
</file>

<file path=xl/calcChain.xml><?xml version="1.0" encoding="utf-8"?>
<calcChain xmlns="http://schemas.openxmlformats.org/spreadsheetml/2006/main">
  <c r="N5" i="5" l="1"/>
  <c r="M6" i="5"/>
  <c r="J6" i="5"/>
  <c r="J7" i="5" s="1"/>
  <c r="H6" i="5"/>
  <c r="N6" i="5" l="1"/>
  <c r="N7" i="5" s="1"/>
  <c r="M7" i="5"/>
  <c r="H7" i="5"/>
  <c r="L6" i="5" l="1"/>
  <c r="L7" i="5"/>
</calcChain>
</file>

<file path=xl/sharedStrings.xml><?xml version="1.0" encoding="utf-8"?>
<sst xmlns="http://schemas.openxmlformats.org/spreadsheetml/2006/main" count="19" uniqueCount="18">
  <si>
    <t>형태</t>
    <phoneticPr fontId="3" type="noConversion"/>
  </si>
  <si>
    <t>상세</t>
    <phoneticPr fontId="3" type="noConversion"/>
  </si>
  <si>
    <t>단가</t>
    <phoneticPr fontId="3" type="noConversion"/>
  </si>
  <si>
    <t>하도급계약 비용</t>
    <phoneticPr fontId="3" type="noConversion"/>
  </si>
  <si>
    <t>소계</t>
    <phoneticPr fontId="3" type="noConversion"/>
  </si>
  <si>
    <t>완료여부</t>
    <phoneticPr fontId="3" type="noConversion"/>
  </si>
  <si>
    <t>고객사</t>
    <phoneticPr fontId="3" type="noConversion"/>
  </si>
  <si>
    <t>작업명</t>
    <phoneticPr fontId="3" type="noConversion"/>
  </si>
  <si>
    <t>누적공수</t>
    <phoneticPr fontId="3" type="noConversion"/>
  </si>
  <si>
    <t>합계</t>
    <phoneticPr fontId="3" type="noConversion"/>
  </si>
  <si>
    <t>수행일정</t>
    <phoneticPr fontId="3" type="noConversion"/>
  </si>
  <si>
    <t>대기</t>
    <phoneticPr fontId="3" type="noConversion"/>
  </si>
  <si>
    <t>계약공수</t>
    <phoneticPr fontId="3" type="noConversion"/>
  </si>
  <si>
    <t>하도급 계약비용</t>
    <phoneticPr fontId="3" type="noConversion"/>
  </si>
  <si>
    <t>추가</t>
    <phoneticPr fontId="3" type="noConversion"/>
  </si>
  <si>
    <t>스윗코드 대교씨엔에스 개발용역 항목</t>
    <phoneticPr fontId="3" type="noConversion"/>
  </si>
  <si>
    <t>2025.02.19 ~ 2025.03.28</t>
    <phoneticPr fontId="3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</si>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</sst>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0_ "/>
    <numFmt numFmtId="177" formatCode="_-* #,##0_-;\-* #,##0_-;_-* &quot;-&quot;??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0000CC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41" fontId="6" fillId="5" borderId="3" xfId="1" applyFont="1" applyFill="1" applyBorder="1" applyAlignment="1">
      <alignment vertical="center" wrapText="1"/>
    </xf>
    <xf numFmtId="41" fontId="6" fillId="5" borderId="3" xfId="0" applyNumberFormat="1" applyFont="1" applyFill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41" fontId="6" fillId="2" borderId="3" xfId="0" applyNumberFormat="1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177" fontId="6" fillId="5" borderId="3" xfId="0" applyNumberFormat="1" applyFont="1" applyFill="1" applyBorder="1" applyAlignment="1">
      <alignment vertical="center" wrapText="1"/>
    </xf>
    <xf numFmtId="41" fontId="4" fillId="0" borderId="0" xfId="0" applyNumberFormat="1" applyFont="1" applyAlignment="1">
      <alignment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left" vertical="center" wrapText="1"/>
    </xf>
    <xf numFmtId="3" fontId="4" fillId="0" borderId="3" xfId="0" quotePrefix="1" applyNumberFormat="1" applyFont="1" applyBorder="1" applyAlignment="1">
      <alignment vertical="center" wrapText="1"/>
    </xf>
    <xf numFmtId="41" fontId="4" fillId="0" borderId="4" xfId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6" fillId="4" borderId="3" xfId="0" applyNumberFormat="1" applyFont="1" applyFill="1" applyBorder="1" applyAlignment="1">
      <alignment horizontal="center" vertical="center" wrapText="1"/>
    </xf>
    <xf numFmtId="2" fontId="6" fillId="2" borderId="3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1" fontId="4" fillId="0" borderId="4" xfId="1" applyFont="1" applyBorder="1" applyAlignment="1">
      <alignment horizontal="center" vertical="center" wrapText="1"/>
    </xf>
    <xf numFmtId="177" fontId="6" fillId="2" borderId="3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right" vertical="center" wrapText="1"/>
    </xf>
    <xf numFmtId="0" fontId="6" fillId="2" borderId="6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0"/>
  <sheetViews>
    <sheetView showGridLines="0" tabSelected="1" zoomScale="115" zoomScaleNormal="115" workbookViewId="0">
      <selection activeCell="E5" sqref="E5"/>
    </sheetView>
  </sheetViews>
  <sheetFormatPr defaultColWidth="9" defaultRowHeight="13.5" x14ac:dyDescent="0.3"/>
  <cols>
    <col min="1" max="1" width="2.125" style="1" customWidth="1"/>
    <col min="2" max="3" width="7.375" style="1" customWidth="1"/>
    <col min="4" max="4" width="13.25" style="1" customWidth="1"/>
    <col min="5" max="5" width="17.25" style="1" customWidth="1"/>
    <col min="6" max="6" width="62.25" style="1" customWidth="1"/>
    <col min="7" max="7" width="21.5" style="1" bestFit="1" customWidth="1"/>
    <col min="8" max="8" width="9.25" style="1" customWidth="1"/>
    <col min="9" max="9" width="0.5" style="1" customWidth="1"/>
    <col min="10" max="10" width="11.125" style="1" customWidth="1"/>
    <col min="11" max="11" width="9.625" style="1" hidden="1" customWidth="1"/>
    <col min="12" max="12" width="14" style="1" hidden="1" customWidth="1"/>
    <col min="13" max="13" width="11.625" style="1" customWidth="1"/>
    <col min="14" max="14" width="14.5" style="1" customWidth="1"/>
    <col min="15" max="15" width="9" style="1"/>
    <col min="16" max="16" width="23.75" style="1" customWidth="1"/>
    <col min="17" max="17" width="37.375" style="1" customWidth="1"/>
    <col min="18" max="18" width="9.25" style="1" customWidth="1"/>
    <col min="19" max="16384" width="9" style="1"/>
  </cols>
  <sheetData>
    <row r="2" spans="2:14" ht="30.75" customHeight="1" x14ac:dyDescent="0.3">
      <c r="B2" s="30" t="s">
        <v>15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4" spans="2:14" ht="23.25" customHeight="1" x14ac:dyDescent="0.3">
      <c r="B4" s="2" t="s">
        <v>0</v>
      </c>
      <c r="C4" s="18" t="s">
        <v>5</v>
      </c>
      <c r="D4" s="18" t="s">
        <v>6</v>
      </c>
      <c r="E4" s="2" t="s">
        <v>7</v>
      </c>
      <c r="F4" s="2" t="s">
        <v>1</v>
      </c>
      <c r="G4" s="26" t="s">
        <v>10</v>
      </c>
      <c r="H4" s="2" t="s">
        <v>12</v>
      </c>
      <c r="J4" s="2" t="s">
        <v>8</v>
      </c>
      <c r="K4" s="2" t="s">
        <v>2</v>
      </c>
      <c r="L4" s="3" t="s">
        <v>3</v>
      </c>
      <c r="M4" s="2" t="s">
        <v>2</v>
      </c>
      <c r="N4" s="2" t="s">
        <v>13</v>
      </c>
    </row>
    <row r="5" spans="2:14" ht="63.75" customHeight="1" x14ac:dyDescent="0.3">
      <c r="B5" s="34" t="s">
        <v>14</v>
      </c>
      <c r="C5" s="36" t="s">
        <v>11</v>
      </c>
      <c r="D5" s="36"/>
      <c r="E5" s="22"/>
      <c r="F5" s="20" t="s">
        <v>17</v>
      </c>
      <c r="G5" s="27" t="s">
        <v>16</v>
      </c>
      <c r="H5" s="23">
        <v>0.1</v>
      </c>
      <c r="J5" s="13">
        <v>0.1</v>
      </c>
      <c r="K5" s="13"/>
      <c r="L5" s="13"/>
      <c r="M5" s="28">
        <v>6500000</v>
      </c>
      <c r="N5" s="21">
        <f>M5*J5</f>
        <v>650000</v>
      </c>
    </row>
    <row r="6" spans="2:14" ht="27.6" customHeight="1" x14ac:dyDescent="0.3">
      <c r="B6" s="35"/>
      <c r="C6" s="37"/>
      <c r="D6" s="37"/>
      <c r="E6" s="19"/>
      <c r="F6" s="16" t="s">
        <v>4</v>
      </c>
      <c r="G6" s="16"/>
      <c r="H6" s="24">
        <f>SUM(H5:H5)</f>
        <v>0.1</v>
      </c>
      <c r="J6" s="24">
        <f>SUM(J5:J5)</f>
        <v>0.1</v>
      </c>
      <c r="K6" s="4">
        <v>5500000</v>
      </c>
      <c r="L6" s="5">
        <f>J6*K6</f>
        <v>550000</v>
      </c>
      <c r="M6" s="5">
        <f>SUM(M5)</f>
        <v>6500000</v>
      </c>
      <c r="N6" s="14">
        <f>M6*J6</f>
        <v>650000</v>
      </c>
    </row>
    <row r="7" spans="2:14" ht="30" customHeight="1" x14ac:dyDescent="0.3">
      <c r="B7" s="31" t="s">
        <v>9</v>
      </c>
      <c r="C7" s="32"/>
      <c r="D7" s="32"/>
      <c r="E7" s="32"/>
      <c r="F7" s="33"/>
      <c r="G7" s="17"/>
      <c r="H7" s="25">
        <f>H6</f>
        <v>0.1</v>
      </c>
      <c r="J7" s="7">
        <f>J6</f>
        <v>0.1</v>
      </c>
      <c r="K7" s="8"/>
      <c r="L7" s="9" t="e">
        <f xml:space="preserve"> SUM(#REF!,#REF!,#REF!)</f>
        <v>#REF!</v>
      </c>
      <c r="M7" s="9">
        <f>M6</f>
        <v>6500000</v>
      </c>
      <c r="N7" s="29">
        <f>N6</f>
        <v>650000</v>
      </c>
    </row>
    <row r="8" spans="2:14" x14ac:dyDescent="0.3">
      <c r="B8" s="10"/>
      <c r="C8" s="12"/>
      <c r="E8" s="6"/>
      <c r="F8" s="11"/>
      <c r="G8" s="11"/>
      <c r="H8" s="11"/>
    </row>
    <row r="10" spans="2:14" x14ac:dyDescent="0.3">
      <c r="J10" s="15"/>
    </row>
  </sheetData>
  <mergeCells count="5">
    <mergeCell ref="B2:N2"/>
    <mergeCell ref="B7:F7"/>
    <mergeCell ref="B5:B6"/>
    <mergeCell ref="C5:C6"/>
    <mergeCell ref="D5:D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추가</vt:lpstr>
    </vt:vector>
  </TitlesOfParts>
  <Company>다우기술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하도급계약 이에스청원</dc:title>
  <dc:creator>김종우</dc:creator>
  <cp:lastModifiedBy>SIWON</cp:lastModifiedBy>
  <dcterms:created xsi:type="dcterms:W3CDTF">2017-01-04T23:06:50Z</dcterms:created>
  <dcterms:modified xsi:type="dcterms:W3CDTF">2025-02-17T14:39:37Z</dcterms:modified>
</cp:coreProperties>
</file>